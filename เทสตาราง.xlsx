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งานปี 69\"/>
    </mc:Choice>
  </mc:AlternateContent>
  <xr:revisionPtr revIDLastSave="0" documentId="8_{91D7ADF0-FC8A-48E0-B140-140EB07D370B}" xr6:coauthVersionLast="36" xr6:coauthVersionMax="36" xr10:uidLastSave="{00000000-0000-0000-0000-000000000000}"/>
  <bookViews>
    <workbookView xWindow="0" yWindow="0" windowWidth="22890" windowHeight="9795" xr2:uid="{6ABFE979-FAAB-49DC-A49F-505427368E09}"/>
  </bookViews>
  <sheets>
    <sheet name="data ห้ามลบ ห้ามทำชีทนี้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H12" i="1"/>
  <c r="F12" i="1"/>
  <c r="D12" i="1"/>
  <c r="L12" i="1" s="1"/>
  <c r="J11" i="1"/>
  <c r="H11" i="1"/>
  <c r="F11" i="1"/>
  <c r="D11" i="1"/>
  <c r="L11" i="1" s="1"/>
  <c r="L10" i="1"/>
  <c r="J10" i="1"/>
  <c r="H10" i="1"/>
  <c r="F10" i="1"/>
  <c r="D10" i="1"/>
  <c r="J9" i="1"/>
  <c r="H9" i="1"/>
  <c r="F9" i="1"/>
  <c r="D9" i="1"/>
  <c r="L9" i="1" s="1"/>
  <c r="L8" i="1"/>
  <c r="J8" i="1"/>
  <c r="H8" i="1"/>
  <c r="F8" i="1"/>
  <c r="D8" i="1"/>
  <c r="L7" i="1"/>
  <c r="J7" i="1"/>
  <c r="H7" i="1"/>
  <c r="F7" i="1"/>
  <c r="D7" i="1"/>
  <c r="J6" i="1"/>
  <c r="H6" i="1"/>
  <c r="F6" i="1"/>
  <c r="D6" i="1"/>
  <c r="L6" i="1" s="1"/>
  <c r="L5" i="1"/>
  <c r="J5" i="1"/>
  <c r="J13" i="1" s="1"/>
  <c r="J15" i="1" s="1"/>
  <c r="H5" i="1"/>
  <c r="F5" i="1"/>
  <c r="D5" i="1"/>
  <c r="J4" i="1"/>
  <c r="H4" i="1"/>
  <c r="F4" i="1"/>
  <c r="D4" i="1"/>
  <c r="L4" i="1" s="1"/>
  <c r="J3" i="1"/>
  <c r="H3" i="1"/>
  <c r="H13" i="1" s="1"/>
  <c r="H15" i="1" s="1"/>
  <c r="F3" i="1"/>
  <c r="F13" i="1" s="1"/>
  <c r="F15" i="1" s="1"/>
  <c r="D3" i="1"/>
  <c r="L3" i="1" s="1"/>
  <c r="L13" i="1" l="1"/>
  <c r="L15" i="1" s="1"/>
  <c r="D13" i="1"/>
  <c r="D15" i="1" s="1"/>
</calcChain>
</file>

<file path=xl/sharedStrings.xml><?xml version="1.0" encoding="utf-8"?>
<sst xmlns="http://schemas.openxmlformats.org/spreadsheetml/2006/main" count="38" uniqueCount="22">
  <si>
    <t>องค์ประกอบ</t>
  </si>
  <si>
    <t>หน่วย</t>
  </si>
  <si>
    <t>หินใหญ่ (ลบ.ม.)</t>
  </si>
  <si>
    <t>หินย่อย (ลบ.ม.)</t>
  </si>
  <si>
    <t>ทรายหยาบ (ลบ.ม.)</t>
  </si>
  <si>
    <t>ปูนซีเมนต์ (ถุง)</t>
  </si>
  <si>
    <t>หินคลุก (ลบ.ม.)</t>
  </si>
  <si>
    <t>งาน</t>
  </si>
  <si>
    <t>อัตรา</t>
  </si>
  <si>
    <t>ปริมาณที่ใช้</t>
  </si>
  <si>
    <t>คอนกรีตโครงสร้าง</t>
  </si>
  <si>
    <t>คอนกรีตปนหินใหญ่</t>
  </si>
  <si>
    <t>คอนกรีตดาด</t>
  </si>
  <si>
    <t>คอนกรีตหยาบ</t>
  </si>
  <si>
    <t>หินก่อ</t>
  </si>
  <si>
    <t>หินเรียง</t>
  </si>
  <si>
    <t>หินทิ้ง</t>
  </si>
  <si>
    <t>หินเรียงยาแนว</t>
  </si>
  <si>
    <t>ทรายหยาบ</t>
  </si>
  <si>
    <t>หินคลุก</t>
  </si>
  <si>
    <t>แผนจัดซื้อ</t>
  </si>
  <si>
    <t>ผลต่าง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</si>
</sst>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/>
    </xf>
    <xf numFmtId="0" fontId="2" fillId="0" borderId="0" xfId="0" applyFont="1"/>
    <xf numFmtId="0" fontId="2" fillId="2" borderId="3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2" fillId="0" borderId="1" xfId="1" applyFont="1" applyBorder="1"/>
    <xf numFmtId="0" fontId="2" fillId="0" borderId="0" xfId="0" applyFont="1" applyAlignment="1">
      <alignment horizontal="center"/>
    </xf>
    <xf numFmtId="43" fontId="2" fillId="0" borderId="0" xfId="1" applyFont="1"/>
    <xf numFmtId="43" fontId="2" fillId="2" borderId="4" xfId="1" applyFont="1" applyFill="1" applyBorder="1"/>
    <xf numFmtId="43" fontId="2" fillId="3" borderId="5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257151</xdr:colOff>
      <xdr:row>2</xdr:row>
      <xdr:rowOff>216569</xdr:rowOff>
    </xdr:from>
    <xdr:to>
      <xdr:col>26</xdr:col>
      <xdr:colOff>231630</xdr:colOff>
      <xdr:row>15</xdr:row>
      <xdr:rowOff>270711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C3E14-43C7-4244-BA83-7094CC48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6976" y="807119"/>
          <a:ext cx="8242179" cy="3921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D9AF-9A0B-4DDA-9744-8A6844506B68}">
  <sheetPr>
    <tabColor rgb="FFFF0000"/>
  </sheetPr>
  <dimension ref="A1:L16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ColWidth="8.85546875" defaultRowHeight="23.25"/>
  <cols>
    <col min="1" max="1" width="23.28515625" style="4" customWidth="1"/>
    <col min="2" max="2" width="8.5703125" style="10" customWidth="1"/>
    <col min="3" max="12" width="11.85546875" style="11" customWidth="1"/>
    <col min="13" max="16384" width="8.85546875" style="4"/>
  </cols>
  <sheetData>
    <row r="1" spans="1:12">
      <c r="A1" s="1" t="s">
        <v>0</v>
      </c>
      <c r="B1" s="2" t="s">
        <v>1</v>
      </c>
      <c r="C1" s="3" t="s">
        <v>2</v>
      </c>
      <c r="D1" s="3"/>
      <c r="E1" s="3" t="s">
        <v>3</v>
      </c>
      <c r="F1" s="3"/>
      <c r="G1" s="3" t="s">
        <v>4</v>
      </c>
      <c r="H1" s="3"/>
      <c r="I1" s="3" t="s">
        <v>5</v>
      </c>
      <c r="J1" s="3"/>
      <c r="K1" s="3" t="s">
        <v>6</v>
      </c>
      <c r="L1" s="3"/>
    </row>
    <row r="2" spans="1:12">
      <c r="A2" s="1" t="s">
        <v>7</v>
      </c>
      <c r="B2" s="5"/>
      <c r="C2" s="6" t="s">
        <v>8</v>
      </c>
      <c r="D2" s="6" t="s">
        <v>9</v>
      </c>
      <c r="E2" s="6" t="s">
        <v>8</v>
      </c>
      <c r="F2" s="6" t="s">
        <v>9</v>
      </c>
      <c r="G2" s="6" t="s">
        <v>8</v>
      </c>
      <c r="H2" s="6" t="s">
        <v>9</v>
      </c>
      <c r="I2" s="6" t="s">
        <v>8</v>
      </c>
      <c r="J2" s="6" t="s">
        <v>9</v>
      </c>
      <c r="K2" s="6" t="s">
        <v>8</v>
      </c>
      <c r="L2" s="6" t="s">
        <v>9</v>
      </c>
    </row>
    <row r="3" spans="1:12">
      <c r="A3" s="7" t="s">
        <v>10</v>
      </c>
      <c r="B3" s="8"/>
      <c r="C3" s="9">
        <v>0</v>
      </c>
      <c r="D3" s="9">
        <f>B3*C3</f>
        <v>0</v>
      </c>
      <c r="E3" s="9">
        <v>0.92</v>
      </c>
      <c r="F3" s="9">
        <f t="shared" ref="F3:F6" si="0">B3*E3</f>
        <v>0</v>
      </c>
      <c r="G3" s="9">
        <v>0.71</v>
      </c>
      <c r="H3" s="9">
        <f>B3*G3:G11</f>
        <v>0</v>
      </c>
      <c r="I3" s="9">
        <v>6.84</v>
      </c>
      <c r="J3" s="9">
        <f t="shared" ref="J3:J6" si="1">B3*I3</f>
        <v>0</v>
      </c>
      <c r="K3" s="9">
        <v>0</v>
      </c>
      <c r="L3" s="9">
        <f t="shared" ref="L3:L6" si="2">D3*K3</f>
        <v>0</v>
      </c>
    </row>
    <row r="4" spans="1:12">
      <c r="A4" s="7" t="s">
        <v>11</v>
      </c>
      <c r="B4" s="8"/>
      <c r="C4" s="9">
        <v>0.61</v>
      </c>
      <c r="D4" s="9">
        <f t="shared" ref="D4:D12" si="3">B4*C4</f>
        <v>0</v>
      </c>
      <c r="E4" s="9">
        <v>0.6</v>
      </c>
      <c r="F4" s="9">
        <f t="shared" si="0"/>
        <v>0</v>
      </c>
      <c r="G4" s="9">
        <v>0.62</v>
      </c>
      <c r="H4" s="9">
        <f t="shared" ref="H4:H7" si="4">B4*G4:G12</f>
        <v>0</v>
      </c>
      <c r="I4" s="9">
        <v>5.08</v>
      </c>
      <c r="J4" s="9">
        <f t="shared" si="1"/>
        <v>0</v>
      </c>
      <c r="K4" s="9">
        <v>0</v>
      </c>
      <c r="L4" s="9">
        <f t="shared" si="2"/>
        <v>0</v>
      </c>
    </row>
    <row r="5" spans="1:12">
      <c r="A5" s="7" t="s">
        <v>12</v>
      </c>
      <c r="B5" s="8"/>
      <c r="C5" s="9">
        <v>0</v>
      </c>
      <c r="D5" s="9">
        <f t="shared" si="3"/>
        <v>0</v>
      </c>
      <c r="E5" s="9">
        <v>0.82</v>
      </c>
      <c r="F5" s="9">
        <f t="shared" si="0"/>
        <v>0</v>
      </c>
      <c r="G5" s="9">
        <v>0.85</v>
      </c>
      <c r="H5" s="9">
        <f t="shared" si="4"/>
        <v>0</v>
      </c>
      <c r="I5" s="9">
        <v>6.55</v>
      </c>
      <c r="J5" s="9">
        <f t="shared" si="1"/>
        <v>0</v>
      </c>
      <c r="K5" s="9">
        <v>0</v>
      </c>
      <c r="L5" s="9">
        <f t="shared" si="2"/>
        <v>0</v>
      </c>
    </row>
    <row r="6" spans="1:12">
      <c r="A6" s="7" t="s">
        <v>13</v>
      </c>
      <c r="B6" s="8"/>
      <c r="C6" s="9">
        <v>0</v>
      </c>
      <c r="D6" s="9">
        <f t="shared" si="3"/>
        <v>0</v>
      </c>
      <c r="E6" s="9">
        <v>0.84</v>
      </c>
      <c r="F6" s="9">
        <f t="shared" si="0"/>
        <v>0</v>
      </c>
      <c r="G6" s="9">
        <v>0.88</v>
      </c>
      <c r="H6" s="9">
        <f t="shared" si="4"/>
        <v>0</v>
      </c>
      <c r="I6" s="9">
        <v>4.9400000000000004</v>
      </c>
      <c r="J6" s="9">
        <f t="shared" si="1"/>
        <v>0</v>
      </c>
      <c r="K6" s="9">
        <v>0</v>
      </c>
      <c r="L6" s="9">
        <f t="shared" si="2"/>
        <v>0</v>
      </c>
    </row>
    <row r="7" spans="1:12">
      <c r="A7" s="7" t="s">
        <v>14</v>
      </c>
      <c r="B7" s="8"/>
      <c r="C7" s="9">
        <v>1.1399999999999999</v>
      </c>
      <c r="D7" s="9">
        <f t="shared" si="3"/>
        <v>0</v>
      </c>
      <c r="E7" s="9">
        <v>0.36</v>
      </c>
      <c r="F7" s="9">
        <f>B7*E7</f>
        <v>0</v>
      </c>
      <c r="G7" s="9">
        <v>0.5</v>
      </c>
      <c r="H7" s="9">
        <f t="shared" si="4"/>
        <v>0</v>
      </c>
      <c r="I7" s="9">
        <v>4.41</v>
      </c>
      <c r="J7" s="9">
        <f>B7*I7</f>
        <v>0</v>
      </c>
      <c r="K7" s="9">
        <v>0</v>
      </c>
      <c r="L7" s="9">
        <f>D7*K7</f>
        <v>0</v>
      </c>
    </row>
    <row r="8" spans="1:12">
      <c r="A8" s="7" t="s">
        <v>15</v>
      </c>
      <c r="B8" s="8"/>
      <c r="C8" s="9">
        <v>1.28</v>
      </c>
      <c r="D8" s="9">
        <f t="shared" si="3"/>
        <v>0</v>
      </c>
      <c r="E8" s="9">
        <v>0</v>
      </c>
      <c r="F8" s="9">
        <f t="shared" ref="F8:F12" si="5">B8*E8</f>
        <v>0</v>
      </c>
      <c r="G8" s="9">
        <v>0</v>
      </c>
      <c r="H8" s="9">
        <f>B8*G8:G16</f>
        <v>0</v>
      </c>
      <c r="I8" s="9">
        <v>0</v>
      </c>
      <c r="J8" s="9">
        <f t="shared" ref="J8:J12" si="6">B8*I8</f>
        <v>0</v>
      </c>
      <c r="K8" s="9">
        <v>0</v>
      </c>
      <c r="L8" s="9">
        <f>D8*K8</f>
        <v>0</v>
      </c>
    </row>
    <row r="9" spans="1:12">
      <c r="A9" s="7" t="s">
        <v>16</v>
      </c>
      <c r="B9" s="8"/>
      <c r="C9" s="9">
        <v>1.1000000000000001</v>
      </c>
      <c r="D9" s="9">
        <f t="shared" si="3"/>
        <v>0</v>
      </c>
      <c r="E9" s="9">
        <v>0</v>
      </c>
      <c r="F9" s="9">
        <f t="shared" si="5"/>
        <v>0</v>
      </c>
      <c r="G9" s="9">
        <v>0</v>
      </c>
      <c r="H9" s="9">
        <f t="shared" ref="H9:H12" si="7">B9*G9:G17</f>
        <v>0</v>
      </c>
      <c r="I9" s="9">
        <v>0</v>
      </c>
      <c r="J9" s="9">
        <f t="shared" si="6"/>
        <v>0</v>
      </c>
      <c r="K9" s="9">
        <v>0</v>
      </c>
      <c r="L9" s="9">
        <f t="shared" ref="L9:L12" si="8">D9*K9</f>
        <v>0</v>
      </c>
    </row>
    <row r="10" spans="1:12">
      <c r="A10" s="7" t="s">
        <v>17</v>
      </c>
      <c r="B10" s="8"/>
      <c r="C10" s="9">
        <v>1.28</v>
      </c>
      <c r="D10" s="9">
        <f t="shared" si="3"/>
        <v>0</v>
      </c>
      <c r="E10" s="9">
        <v>0</v>
      </c>
      <c r="F10" s="9">
        <f t="shared" si="5"/>
        <v>0</v>
      </c>
      <c r="G10" s="9">
        <v>0.06</v>
      </c>
      <c r="H10" s="9">
        <f t="shared" si="7"/>
        <v>0</v>
      </c>
      <c r="I10" s="9">
        <v>0.31</v>
      </c>
      <c r="J10" s="9">
        <f t="shared" si="6"/>
        <v>0</v>
      </c>
      <c r="K10" s="9">
        <v>0</v>
      </c>
      <c r="L10" s="9">
        <f t="shared" si="8"/>
        <v>0</v>
      </c>
    </row>
    <row r="11" spans="1:12">
      <c r="A11" s="7" t="s">
        <v>18</v>
      </c>
      <c r="B11" s="8"/>
      <c r="C11" s="9"/>
      <c r="D11" s="9">
        <f t="shared" si="3"/>
        <v>0</v>
      </c>
      <c r="E11" s="9">
        <v>0</v>
      </c>
      <c r="F11" s="9">
        <f t="shared" si="5"/>
        <v>0</v>
      </c>
      <c r="G11" s="9">
        <v>1.4</v>
      </c>
      <c r="H11" s="9">
        <f t="shared" si="7"/>
        <v>0</v>
      </c>
      <c r="I11" s="9">
        <v>0</v>
      </c>
      <c r="J11" s="9">
        <f t="shared" si="6"/>
        <v>0</v>
      </c>
      <c r="K11" s="9">
        <v>0</v>
      </c>
      <c r="L11" s="9">
        <f t="shared" si="8"/>
        <v>0</v>
      </c>
    </row>
    <row r="12" spans="1:12">
      <c r="A12" s="7" t="s">
        <v>19</v>
      </c>
      <c r="B12" s="8"/>
      <c r="C12" s="9"/>
      <c r="D12" s="9">
        <f t="shared" si="3"/>
        <v>0</v>
      </c>
      <c r="E12" s="9">
        <v>0</v>
      </c>
      <c r="F12" s="9">
        <f t="shared" si="5"/>
        <v>0</v>
      </c>
      <c r="G12" s="9">
        <v>0</v>
      </c>
      <c r="H12" s="9">
        <f t="shared" si="7"/>
        <v>0</v>
      </c>
      <c r="I12" s="9">
        <v>0</v>
      </c>
      <c r="J12" s="9">
        <f t="shared" si="6"/>
        <v>0</v>
      </c>
      <c r="K12" s="9">
        <v>1.5</v>
      </c>
      <c r="L12" s="9">
        <f t="shared" si="8"/>
        <v>0</v>
      </c>
    </row>
    <row r="13" spans="1:12" ht="24" thickBot="1">
      <c r="D13" s="12">
        <f>SUM(D3:D10)</f>
        <v>0</v>
      </c>
      <c r="F13" s="12">
        <f>SUM(F3:F10)</f>
        <v>0</v>
      </c>
      <c r="H13" s="12">
        <f>SUM(H3:H10)</f>
        <v>0</v>
      </c>
      <c r="J13" s="12">
        <f>SUM(J3:J10)</f>
        <v>0</v>
      </c>
      <c r="L13" s="12">
        <f>SUM(L3:L10)</f>
        <v>0</v>
      </c>
    </row>
    <row r="14" spans="1:12" ht="24" thickTop="1">
      <c r="C14" s="11" t="s">
        <v>20</v>
      </c>
      <c r="E14" s="11" t="s">
        <v>20</v>
      </c>
      <c r="G14" s="11" t="s">
        <v>20</v>
      </c>
      <c r="I14" s="11" t="s">
        <v>20</v>
      </c>
      <c r="K14" s="11" t="s">
        <v>20</v>
      </c>
    </row>
    <row r="15" spans="1:12" ht="24" thickBot="1">
      <c r="C15" s="11" t="s">
        <v>21</v>
      </c>
      <c r="D15" s="13">
        <f>+D13-D14</f>
        <v>0</v>
      </c>
      <c r="E15" s="11" t="s">
        <v>21</v>
      </c>
      <c r="F15" s="13">
        <f>+F13-F14</f>
        <v>0</v>
      </c>
      <c r="G15" s="11" t="s">
        <v>21</v>
      </c>
      <c r="H15" s="13">
        <f>+H13-H14</f>
        <v>0</v>
      </c>
      <c r="I15" s="11" t="s">
        <v>21</v>
      </c>
      <c r="J15" s="13">
        <f>+J13-J14</f>
        <v>0</v>
      </c>
      <c r="K15" s="11" t="s">
        <v>21</v>
      </c>
      <c r="L15" s="13">
        <f>+L13-L14</f>
        <v>0</v>
      </c>
    </row>
    <row r="16" spans="1:12" ht="24" thickTop="1"/>
  </sheetData>
  <sheetProtection formatColumns="0" formatRows="0" selectLockedCells="1" selectUnlockedCells="1"/>
  <mergeCells count="6"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ห้ามลบ ห้ามทำชีทนี้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TH200828407</dc:creator>
  <cp:lastModifiedBy>TH200828407</cp:lastModifiedBy>
  <dcterms:created xsi:type="dcterms:W3CDTF">2026-02-05T02:18:38Z</dcterms:created>
  <dcterms:modified xsi:type="dcterms:W3CDTF">2026-02-05T02:19:23Z</dcterms:modified>
</cp:coreProperties>
</file>